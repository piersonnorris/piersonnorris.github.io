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32bc7e1c7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143fbbd14484eef"/>
    <x:sheet xmlns:r="http://schemas.openxmlformats.org/officeDocument/2006/relationships" name="Module Timeline" sheetId="2" r:id="Ra9f72c8728c345e1"/>
    <x:sheet xmlns:r="http://schemas.openxmlformats.org/officeDocument/2006/relationships" name="Task Detail" sheetId="3" r:id="R6e2ed36241be46c5"/>
    <x:sheet xmlns:r="http://schemas.openxmlformats.org/officeDocument/2006/relationships" name="Decisions" sheetId="4" r:id="Rba916f7d59184308"/>
    <x:sheet xmlns:r="http://schemas.openxmlformats.org/officeDocument/2006/relationships" name="Sources" sheetId="5" r:id="R30fde23cf5e248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 d, yyyy"/>
    <x:numFmt numFmtId="201" formatCode="0%"/>
    <x:numFmt numFmtId="202" formatCode="0"/>
    <x:numFmt numFmtId="203" formatCode="mmm d"/>
  </x:numFmts>
  <x:fonts count="10">
    <x:font>
      <x:sz val="11"/>
      <x:name val="Carlito"/>
    </x:font>
    <x:font>
      <x:b/>
      <x:sz val="18"/>
      <x:color rgb="FF17202A"/>
      <x:name val="Arial"/>
    </x:font>
    <x:font>
      <x:i/>
      <x:sz val="10"/>
      <x:color rgb="FF566170"/>
      <x:name val="Arial"/>
    </x:font>
    <x:font>
      <x:b/>
      <x:sz val="10"/>
      <x:color rgb="FFFFFFFF"/>
      <x:name val="Arial"/>
    </x:font>
    <x:font>
      <x:sz val="10"/>
      <x:color rgb="FF17202A"/>
      <x:name val="Arial"/>
    </x:font>
    <x:font>
      <x:b/>
      <x:sz val="10"/>
      <x:color rgb="FF17202A"/>
      <x:name val="Arial"/>
    </x:font>
    <x:font>
      <x:sz val="10"/>
      <x:color rgb="FF566170"/>
      <x:name val="Arial"/>
    </x:font>
    <x:font>
      <x:b/>
      <x:sz val="10"/>
      <x:color rgb="FF2F6B38"/>
      <x:name val="Arial"/>
    </x:font>
    <x:font>
      <x:sz val="13"/>
      <x:color rgb="FF2F6B38"/>
      <x:name val="Arial"/>
    </x:font>
    <x:font>
      <x:sz val="10"/>
      <x:color rgb="FF2F6B3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21B"/>
      </x:patternFill>
    </x:fill>
    <x:fill>
      <x:patternFill patternType="solid">
        <x:fgColor rgb="FFF3F6F4"/>
      </x:patternFill>
    </x:fill>
  </x:fills>
  <x:borders count="5">
    <x:border/>
    <x:border>
      <x:bottom style="medium">
        <x:color rgb="FF5FAE5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DEE5"/>
      </x:bottom>
    </x:border>
    <x:border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203" fontId="4" fillId="0" borderId="3" xfId="0" applyNumberFormat="1" applyFont="1" applyFill="1" applyBorder="1" applyAlignment="1">
      <x:alignment vertical="center" wrapText="1"/>
    </x:xf>
    <x:xf numFmtId="203" fontId="4" fillId="0" borderId="4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203" fontId="3" fillId="2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203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8" fillId="0" borderId="3" xfId="0" applyNumberFormat="1" applyFont="1" applyFill="1" applyBorder="1" applyAlignment="1">
      <x:alignment horizontal="center" vertical="center"/>
    </x:xf>
    <x:xf numFmtId="0" fontId="8" fillId="0" borderId="4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ont>
        <x:b/>
        <x:color rgb="FF2F6B38"/>
      </x:font>
      <x:fill>
        <x:patternFill patternType="solid">
          <x:bgColor rgb="FFE8F2E7"/>
        </x:patternFill>
      </x:fill>
    </x:dxf>
    <x:dxf>
      <x:font>
        <x:b/>
        <x:color rgb="FF2F6B38"/>
      </x:font>
      <x:fill>
        <x:patternFill patternType="solid">
          <x:bgColor rgb="FFE8F2E7"/>
        </x:patternFill>
      </x:fill>
    </x:dxf>
    <x:dxf>
      <x:font>
        <x:b/>
        <x:color rgb="FF1D5A77"/>
      </x:font>
      <x:fill>
        <x:patternFill patternType="solid">
          <x:bgColor rgb="FFDDEEF7"/>
        </x:patternFill>
      </x:fill>
    </x:dxf>
    <x:dxf>
      <x:font>
        <x:b/>
        <x:color rgb="FF8A2C28"/>
      </x:font>
      <x:fill>
        <x:patternFill patternType="solid">
          <x:bgColor rgb="FFF8DDDA"/>
        </x:patternFill>
      </x:fill>
    </x:dxf>
    <x:dxf>
      <x:font>
        <x:b/>
        <x:color rgb="FF7A5200"/>
      </x:font>
      <x:fill>
        <x:patternFill patternType="solid">
          <x:bgColor rgb="FFF6E8C8"/>
        </x:patternFill>
      </x:fill>
    </x:dxf>
    <x:dxf>
      <x:font>
        <x:b/>
        <x:color rgb="FF2F6B38"/>
      </x:font>
      <x:fill>
        <x:patternFill patternType="solid">
          <x:bgColor rgb="FFE8F2E7"/>
        </x:patternFill>
      </x:fill>
    </x:dxf>
    <x:dxf>
      <x:font>
        <x:b/>
        <x:color rgb="FF1D5A77"/>
      </x:font>
      <x:fill>
        <x:patternFill patternType="solid">
          <x:bgColor rgb="FFDDEEF7"/>
        </x:patternFill>
      </x:fill>
    </x:dxf>
    <x:dxf>
      <x:font>
        <x:b/>
        <x:color rgb="FF8A2C28"/>
      </x:font>
      <x:fill>
        <x:patternFill patternType="solid">
          <x:bgColor rgb="FFF8DDDA"/>
        </x:patternFill>
      </x:fill>
    </x:dxf>
    <x:dxf>
      <x:font>
        <x:b/>
        <x:color rgb="FF7A5200"/>
      </x:font>
      <x:fill>
        <x:patternFill patternType="solid">
          <x:bgColor rgb="FFF6E8C8"/>
        </x:patternFill>
      </x:fill>
    </x:dxf>
    <x:dxf>
      <x:font>
        <x:b/>
        <x:color rgb="FF7A5200"/>
      </x:font>
      <x:fill>
        <x:patternFill patternType="solid">
          <x:bgColor rgb="FFF6E8C8"/>
        </x:patternFill>
      </x:fill>
    </x:dxf>
    <x:dxf>
      <x:font>
        <x:b/>
        <x:color rgb="FF2F6B38"/>
      </x:font>
      <x:fill>
        <x:patternFill patternType="solid">
          <x:bgColor rgb="FFE8F2E7"/>
        </x:patternFill>
      </x:fill>
    </x:dxf>
    <x:dxf>
      <x:font>
        <x:b/>
        <x:color rgb="FF1D5A77"/>
      </x:font>
      <x:fill>
        <x:patternFill patternType="solid">
          <x:bgColor rgb="FFDDEE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768f63ba74e8e" /><Relationship Type="http://schemas.openxmlformats.org/officeDocument/2006/relationships/theme" Target="/xl/theme/theme1.xml" Id="Rf262b2df254d46f1" /><Relationship Type="http://schemas.openxmlformats.org/officeDocument/2006/relationships/sharedStrings" Target="/xl/sharedStrings.xml" Id="Rdfac227a39e54b73" /><Relationship Type="http://schemas.openxmlformats.org/officeDocument/2006/relationships/worksheet" Target="/xl/worksheets/sheet1.xml" Id="Ra143fbbd14484eef" /><Relationship Type="http://schemas.openxmlformats.org/officeDocument/2006/relationships/worksheet" Target="/xl/worksheets/sheet2.xml" Id="Ra9f72c8728c345e1" /><Relationship Type="http://schemas.openxmlformats.org/officeDocument/2006/relationships/worksheet" Target="/xl/worksheets/sheet3.xml" Id="R6e2ed36241be46c5" /><Relationship Type="http://schemas.openxmlformats.org/officeDocument/2006/relationships/worksheet" Target="/xl/worksheets/sheet4.xml" Id="Rba916f7d59184308" /><Relationship Type="http://schemas.openxmlformats.org/officeDocument/2006/relationships/worksheet" Target="/xl/worksheets/sheet5.xml" Id="R30fde23cf5e248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3" hidden="0" customWidth="1"/>
    <x:col min="4" max="4" width="17" hidden="0" customWidth="1"/>
    <x:col min="5" max="5" width="40" hidden="0" customWidth="1"/>
    <x:col min="6" max="6" width="14" hidden="0" customWidth="1"/>
    <x:col min="7" max="7" width="13" hidden="0" customWidth="1"/>
    <x:col min="8" max="8" width="32" hidden="0" customWidth="1"/>
  </x:cols>
  <x:sheetData>
    <x:row r="1" ht="24" customHeight="1">
      <x:c r="A1" s="2" t="str">
        <x:v>PN site module plan</x:v>
      </x:c>
      <x:c r="B1" s="1"/>
      <x:c r="C1" s="1"/>
      <x:c r="D1" s="1"/>
      <x:c r="E1" s="1"/>
      <x:c r="F1" s="1"/>
      <x:c r="G1" s="1"/>
      <x:c r="H1" s="1"/>
    </x:row>
    <x:row r="2" ht="24" customHeight="1">
      <x:c r="A2" s="3" t="str">
        <x:v>A public-safe delivery plan for improving navigation, storytelling, privacy, and launch quality.</x:v>
      </x:c>
      <x:c r="B2" s="3"/>
      <x:c r="C2" s="3"/>
      <x:c r="D2" s="3"/>
      <x:c r="E2" s="3"/>
      <x:c r="F2" s="3"/>
      <x:c r="G2" s="3"/>
      <x:c r="H2" s="3"/>
    </x:row>
    <x:row r="4" ht="32" customHeight="1">
      <x:c r="A4" s="9" t="str">
        <x:v>Plan summary</x:v>
      </x:c>
      <x:c r="B4" s="9" t="str">
        <x:v>Value</x:v>
      </x:c>
      <x:c r="D4" s="9" t="str">
        <x:v>Current focus</x:v>
      </x:c>
      <x:c r="E4" s="9" t="str">
        <x:v>Outcome</x:v>
      </x:c>
      <x:c r="F4" s="9" t="str">
        <x:v>Owner</x:v>
      </x:c>
      <x:c r="G4" s="9" t="str">
        <x:v>Finish</x:v>
      </x:c>
      <x:c r="H4" s="9" t="str">
        <x:v>Evidence</x:v>
      </x:c>
    </x:row>
    <x:row r="5" ht="42" customHeight="1">
      <x:c r="A5" s="14" t="str">
        <x:v>Plan start</x:v>
      </x:c>
      <x:c r="B5" s="16" t="n">
        <x:v>46278.666666666664</x:v>
      </x:c>
      <x:c r="D5" s="19" t="str">
        <x:v>Module 01</x:v>
      </x:c>
      <x:c r="E5" s="19" t="str">
        <x:v>Make the site understandable in one glance</x:v>
      </x:c>
      <x:c r="F5" s="19" t="str">
        <x:v>Codex</x:v>
      </x:c>
      <x:c r="G5" s="21" t="n">
        <x:v>46279.666666666664</x:v>
      </x:c>
      <x:c r="H5" s="19" t="str">
        <x:v>/modules/ page + Home link</x:v>
      </x:c>
    </x:row>
    <x:row r="6" ht="42" customHeight="1">
      <x:c r="A6" s="15" t="str">
        <x:v>Modules</x:v>
      </x:c>
      <x:c r="B6" s="18" t="n">
        <x:f>COUNTA('Module Timeline'!$A$5:$A$13)</x:f>
        <x:v>9</x:v>
      </x:c>
      <x:c r="D6" s="20" t="str">
        <x:v>Workbook</x:v>
      </x:c>
      <x:c r="E6" s="20" t="str">
        <x:v>One schedule with dates, dependencies, and acceptance checks</x:v>
      </x:c>
      <x:c r="F6" s="20" t="str">
        <x:v>Codex</x:v>
      </x:c>
      <x:c r="G6" s="22" t="n">
        <x:v>46278.666666666664</x:v>
      </x:c>
      <x:c r="H6" s="20" t="str">
        <x:v>PN-Site-Module-Timeline.xlsx</x:v>
      </x:c>
    </x:row>
    <x:row r="7" ht="42" customHeight="1">
      <x:c r="A7" s="15" t="str">
        <x:v>Complete</x:v>
      </x:c>
      <x:c r="B7" s="18" t="n">
        <x:f>COUNTIF('Module Timeline'!$H$5:$H$13,"Complete")</x:f>
        <x:v>1</x:v>
      </x:c>
      <x:c r="D7" s="20" t="str">
        <x:v>Source review</x:v>
      </x:c>
      <x:c r="E7" s="20" t="str">
        <x:v>Separate personal-site facts from unrelated business material</x:v>
      </x:c>
      <x:c r="F7" s="20" t="str">
        <x:v>Codex</x:v>
      </x:c>
      <x:c r="G7" s="22" t="n">
        <x:v>46278.666666666664</x:v>
      </x:c>
      <x:c r="H7" s="20" t="str">
        <x:v>Sources and decision log</x:v>
      </x:c>
    </x:row>
    <x:row r="8">
      <x:c r="A8" s="15" t="str">
        <x:v>In progress</x:v>
      </x:c>
      <x:c r="B8" s="18" t="n">
        <x:f>COUNTIF('Module Timeline'!$H$5:$H$13,"In progress")</x:f>
        <x:v>1</x:v>
      </x:c>
    </x:row>
    <x:row r="9">
      <x:c r="A9" s="15" t="str">
        <x:v>Blocked</x:v>
      </x:c>
      <x:c r="B9" s="18" t="n">
        <x:f>COUNTIF('Module Timeline'!$H$5:$H$13,"Blocked")</x:f>
        <x:v>2</x:v>
      </x:c>
      <x:c r="D9" s="26" t="str">
        <x:v>How to use this plan</x:v>
      </x:c>
      <x:c r="E9" s="27" t="str">
        <x:v>Update the Status column in Module Timeline and Task Detail. The Overview recalculates automatically.</x:v>
      </x:c>
      <x:c r="F9" s="27" t="str"/>
      <x:c r="G9" s="27" t="str"/>
      <x:c r="H9" s="27" t="str"/>
    </x:row>
    <x:row r="10">
      <x:c r="A10" s="15" t="str">
        <x:v>Not started</x:v>
      </x:c>
      <x:c r="B10" s="18" t="n">
        <x:f>COUNTIF('Module Timeline'!$H$5:$H$13,"Not started")</x:f>
        <x:v>5</x:v>
      </x:c>
    </x:row>
    <x:row r="11">
      <x:c r="A11" s="15" t="str">
        <x:v>Module completion</x:v>
      </x:c>
      <x:c r="B11" s="17" t="n">
        <x:f>IF(B6=0,0,B7/B6)</x:f>
        <x:v>0.1111111111111111</x:v>
      </x:c>
    </x:row>
    <x:row r="12">
      <x:c r="A12" s="15" t="str">
        <x:v>Calendar days</x:v>
      </x:c>
      <x:c r="B12" s="18" t="n">
        <x:f>MAX('Module Timeline'!$E$5:$E$13)-MIN('Module Timeline'!$D$5:$D$13)+1</x:f>
        <x:v>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43" hidden="0" customWidth="1"/>
    <x:col min="4" max="4" width="12" hidden="0" customWidth="1"/>
    <x:col min="5" max="5" width="12" hidden="0" customWidth="1"/>
    <x:col min="6" max="6" width="8" hidden="0" customWidth="1"/>
    <x:col min="7" max="7" width="13" hidden="0" customWidth="1"/>
    <x:col min="8" max="8" width="13" hidden="0" customWidth="1"/>
    <x:col min="9" max="9" width="18" hidden="0" customWidth="1"/>
    <x:col min="10" max="10" width="19" hidden="0" customWidth="1"/>
    <x:col min="11" max="11" width="30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4" customHeight="1">
      <x:c r="A1" s="2" t="str">
        <x:v>Module timeline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3" t="str">
        <x:v>Each site section is treated as a module with one user outcome, one owner, and a measurable finish line.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4" ht="32" customHeight="1">
      <x:c r="A4" s="9" t="str">
        <x:v>ID</x:v>
      </x:c>
      <x:c r="B4" s="9" t="str">
        <x:v>Module</x:v>
      </x:c>
      <x:c r="C4" s="9" t="str">
        <x:v>User outcome</x:v>
      </x:c>
      <x:c r="D4" s="9" t="str">
        <x:v>Start</x:v>
      </x:c>
      <x:c r="E4" s="9" t="str">
        <x:v>Finish</x:v>
      </x:c>
      <x:c r="F4" s="9" t="str">
        <x:v>Days</x:v>
      </x:c>
      <x:c r="G4" s="9" t="str">
        <x:v>Priority</x:v>
      </x:c>
      <x:c r="H4" s="9" t="str">
        <x:v>Status</x:v>
      </x:c>
      <x:c r="I4" s="9" t="str">
        <x:v>Owner</x:v>
      </x:c>
      <x:c r="J4" s="9" t="str">
        <x:v>Depends on</x:v>
      </x:c>
      <x:c r="K4" s="9" t="str">
        <x:v>Primary deliverable</x:v>
      </x:c>
      <x:c r="L4" s="28" t="n">
        <x:v>46279.666666666664</x:v>
      </x:c>
      <x:c r="M4" s="28" t="n">
        <x:v>46286.666666666664</x:v>
      </x:c>
      <x:c r="N4" s="28" t="n">
        <x:v>46293.666666666664</x:v>
      </x:c>
      <x:c r="O4" s="28" t="n">
        <x:v>46300.666666666664</x:v>
      </x:c>
      <x:c r="P4" s="28" t="n">
        <x:v>46307.666666666664</x:v>
      </x:c>
      <x:c r="Q4" s="28" t="n">
        <x:v>46314.666666666664</x:v>
      </x:c>
    </x:row>
    <x:row r="5" ht="54" customHeight="1">
      <x:c r="A5" s="29" t="str">
        <x:v>M00</x:v>
      </x:c>
      <x:c r="B5" s="14" t="str">
        <x:v>Discovery and boundaries</x:v>
      </x:c>
      <x:c r="C5" s="19" t="str">
        <x:v>Ground the experience in current code and trusted facts without exposing private material.</x:v>
      </x:c>
      <x:c r="D5" s="33" t="n">
        <x:v>46278.666666666664</x:v>
      </x:c>
      <x:c r="E5" s="33" t="n">
        <x:v>46278.666666666664</x:v>
      </x:c>
      <x:c r="F5" s="34" t="n">
        <x:f>E5-D5+1</x:f>
        <x:v>1</x:v>
      </x:c>
      <x:c r="G5" s="34" t="str">
        <x:v>High</x:v>
      </x:c>
      <x:c r="H5" s="34" t="str">
        <x:v>Complete</x:v>
      </x:c>
      <x:c r="I5" s="37" t="str">
        <x:v>Codex</x:v>
      </x:c>
      <x:c r="J5" s="37" t="str">
        <x:v>None</x:v>
      </x:c>
      <x:c r="K5" s="19" t="str">
        <x:v>Reviewed source map</x:v>
      </x:c>
      <x:c r="L5" s="39" t="str">
        <x:f>IF(AND(L$4&lt;=$E5,L$4+6&gt;=$D5),"■","")</x:f>
      </x:c>
      <x:c r="M5" s="39" t="str">
        <x:f>IF(AND(M$4&lt;=$E5,M$4+6&gt;=$D5),"■","")</x:f>
      </x:c>
      <x:c r="N5" s="39" t="str">
        <x:f>IF(AND(N$4&lt;=$E5,N$4+6&gt;=$D5),"■","")</x:f>
      </x:c>
      <x:c r="O5" s="39" t="str">
        <x:f>IF(AND(O$4&lt;=$E5,O$4+6&gt;=$D5),"■","")</x:f>
      </x:c>
      <x:c r="P5" s="39" t="str">
        <x:f>IF(AND(P$4&lt;=$E5,P$4+6&gt;=$D5),"■","")</x:f>
      </x:c>
      <x:c r="Q5" s="39" t="str">
        <x:f>IF(AND(Q$4&lt;=$E5,Q$4+6&gt;=$D5),"■","")</x:f>
      </x:c>
    </x:row>
    <x:row r="6" ht="54" customHeight="1">
      <x:c r="A6" s="30" t="str">
        <x:v>M01</x:v>
      </x:c>
      <x:c r="B6" s="15" t="str">
        <x:v>Wayfinding and module map</x:v>
      </x:c>
      <x:c r="C6" s="20" t="str">
        <x:v>A first-time visitor can understand the site and choose a destination in under 20 seconds.</x:v>
      </x:c>
      <x:c r="D6" s="35" t="n">
        <x:v>46278.666666666664</x:v>
      </x:c>
      <x:c r="E6" s="35" t="n">
        <x:v>46279.666666666664</x:v>
      </x:c>
      <x:c r="F6" s="36" t="n">
        <x:f>E6-D6+1</x:f>
        <x:v>2</x:v>
      </x:c>
      <x:c r="G6" s="36" t="str">
        <x:v>High</x:v>
      </x:c>
      <x:c r="H6" s="36" t="str">
        <x:v>In progress</x:v>
      </x:c>
      <x:c r="I6" s="38" t="str">
        <x:v>Codex</x:v>
      </x:c>
      <x:c r="J6" s="38" t="str">
        <x:v>M00</x:v>
      </x:c>
      <x:c r="K6" s="20" t="str">
        <x:v>/modules/ + Home module link</x:v>
      </x:c>
      <x:c r="L6" s="40" t="str">
        <x:f>IF(AND(L$4&lt;=$E6,L$4+6&gt;=$D6),"■","")</x:f>
        <x:v>■</x:v>
      </x:c>
      <x:c r="M6" s="40" t="str">
        <x:f>IF(AND(M$4&lt;=$E6,M$4+6&gt;=$D6),"■","")</x:f>
      </x:c>
      <x:c r="N6" s="40" t="str">
        <x:f>IF(AND(N$4&lt;=$E6,N$4+6&gt;=$D6),"■","")</x:f>
      </x:c>
      <x:c r="O6" s="40" t="str">
        <x:f>IF(AND(O$4&lt;=$E6,O$4+6&gt;=$D6),"■","")</x:f>
      </x:c>
      <x:c r="P6" s="40" t="str">
        <x:f>IF(AND(P$4&lt;=$E6,P$4+6&gt;=$D6),"■","")</x:f>
      </x:c>
      <x:c r="Q6" s="40" t="str">
        <x:f>IF(AND(Q$4&lt;=$E6,Q$4+6&gt;=$D6),"■","")</x:f>
      </x:c>
    </x:row>
    <x:row r="7" ht="54" customHeight="1">
      <x:c r="A7" s="30" t="str">
        <x:v>M02</x:v>
      </x:c>
      <x:c r="B7" s="15" t="str">
        <x:v>Home orientation</x:v>
      </x:c>
      <x:c r="C7" s="20" t="str">
        <x:v>Home leads with identity, proof, and three clear next actions instead of a dense tool console.</x:v>
      </x:c>
      <x:c r="D7" s="35" t="n">
        <x:v>46279.666666666664</x:v>
      </x:c>
      <x:c r="E7" s="35" t="n">
        <x:v>46281.666666666664</x:v>
      </x:c>
      <x:c r="F7" s="36" t="n">
        <x:f>E7-D7+1</x:f>
        <x:v>3</x:v>
      </x:c>
      <x:c r="G7" s="36" t="str">
        <x:v>High</x:v>
      </x:c>
      <x:c r="H7" s="36" t="str">
        <x:v>Not started</x:v>
      </x:c>
      <x:c r="I7" s="38" t="str">
        <x:v>Pierson + Codex</x:v>
      </x:c>
      <x:c r="J7" s="38" t="str">
        <x:v>M01</x:v>
      </x:c>
      <x:c r="K7" s="20" t="str">
        <x:v>Revised Home hierarchy</x:v>
      </x:c>
      <x:c r="L7" s="40" t="str">
        <x:f>IF(AND(L$4&lt;=$E7,L$4+6&gt;=$D7),"■","")</x:f>
        <x:v>■</x:v>
      </x:c>
      <x:c r="M7" s="40" t="str">
        <x:f>IF(AND(M$4&lt;=$E7,M$4+6&gt;=$D7),"■","")</x:f>
      </x:c>
      <x:c r="N7" s="40" t="str">
        <x:f>IF(AND(N$4&lt;=$E7,N$4+6&gt;=$D7),"■","")</x:f>
      </x:c>
      <x:c r="O7" s="40" t="str">
        <x:f>IF(AND(O$4&lt;=$E7,O$4+6&gt;=$D7),"■","")</x:f>
      </x:c>
      <x:c r="P7" s="40" t="str">
        <x:f>IF(AND(P$4&lt;=$E7,P$4+6&gt;=$D7),"■","")</x:f>
      </x:c>
      <x:c r="Q7" s="40" t="str">
        <x:f>IF(AND(Q$4&lt;=$E7,Q$4+6&gt;=$D7),"■","")</x:f>
      </x:c>
    </x:row>
    <x:row r="8" ht="54" customHeight="1">
      <x:c r="A8" s="30" t="str">
        <x:v>M03</x:v>
      </x:c>
      <x:c r="B8" s="15" t="str">
        <x:v>Experience timeline</x:v>
      </x:c>
      <x:c r="C8" s="20" t="str">
        <x:v>Recruiters can scan years, outcomes, and transferable skills without opening every detail panel.</x:v>
      </x:c>
      <x:c r="D8" s="35" t="n">
        <x:v>46282.666666666664</x:v>
      </x:c>
      <x:c r="E8" s="35" t="n">
        <x:v>46284.666666666664</x:v>
      </x:c>
      <x:c r="F8" s="36" t="n">
        <x:f>E8-D8+1</x:f>
        <x:v>3</x:v>
      </x:c>
      <x:c r="G8" s="36" t="str">
        <x:v>High</x:v>
      </x:c>
      <x:c r="H8" s="36" t="str">
        <x:v>Not started</x:v>
      </x:c>
      <x:c r="I8" s="38" t="str">
        <x:v>Pierson + Codex</x:v>
      </x:c>
      <x:c r="J8" s="38" t="str">
        <x:v>M02</x:v>
      </x:c>
      <x:c r="K8" s="20" t="str">
        <x:v>Year jump navigation + copy cleanup</x:v>
      </x:c>
      <x:c r="L8" s="40" t="str">
        <x:f>IF(AND(L$4&lt;=$E8,L$4+6&gt;=$D8),"■","")</x:f>
        <x:v>■</x:v>
      </x:c>
      <x:c r="M8" s="40" t="str">
        <x:f>IF(AND(M$4&lt;=$E8,M$4+6&gt;=$D8),"■","")</x:f>
      </x:c>
      <x:c r="N8" s="40" t="str">
        <x:f>IF(AND(N$4&lt;=$E8,N$4+6&gt;=$D8),"■","")</x:f>
      </x:c>
      <x:c r="O8" s="40" t="str">
        <x:f>IF(AND(O$4&lt;=$E8,O$4+6&gt;=$D8),"■","")</x:f>
      </x:c>
      <x:c r="P8" s="40" t="str">
        <x:f>IF(AND(P$4&lt;=$E8,P$4+6&gt;=$D8),"■","")</x:f>
      </x:c>
      <x:c r="Q8" s="40" t="str">
        <x:f>IF(AND(Q$4&lt;=$E8,Q$4+6&gt;=$D8),"■","")</x:f>
      </x:c>
    </x:row>
    <x:row r="9" ht="54" customHeight="1">
      <x:c r="A9" s="30" t="str">
        <x:v>M04</x:v>
      </x:c>
      <x:c r="B9" s="15" t="str">
        <x:v>Public proof pages</x:v>
      </x:c>
      <x:c r="C9" s="20" t="str">
        <x:v>About, Projects, Contact, and Tools become real destinations with confirmed claims only.</x:v>
      </x:c>
      <x:c r="D9" s="35" t="n">
        <x:v>46285.666666666664</x:v>
      </x:c>
      <x:c r="E9" s="35" t="n">
        <x:v>46291.666666666664</x:v>
      </x:c>
      <x:c r="F9" s="36" t="n">
        <x:f>E9-D9+1</x:f>
        <x:v>7</x:v>
      </x:c>
      <x:c r="G9" s="36" t="str">
        <x:v>High</x:v>
      </x:c>
      <x:c r="H9" s="36" t="str">
        <x:v>Blocked</x:v>
      </x:c>
      <x:c r="I9" s="38" t="str">
        <x:v>Pierson + Codex</x:v>
      </x:c>
      <x:c r="J9" s="38" t="str">
        <x:v>M03; content decisions</x:v>
      </x:c>
      <x:c r="K9" s="20" t="str">
        <x:v>Four public pages</x:v>
      </x:c>
      <x:c r="L9" s="40" t="str">
        <x:f>IF(AND(L$4&lt;=$E9,L$4+6&gt;=$D9),"■","")</x:f>
        <x:v>■</x:v>
      </x:c>
      <x:c r="M9" s="40" t="str">
        <x:f>IF(AND(M$4&lt;=$E9,M$4+6&gt;=$D9),"■","")</x:f>
        <x:v>■</x:v>
      </x:c>
      <x:c r="N9" s="40" t="str">
        <x:f>IF(AND(N$4&lt;=$E9,N$4+6&gt;=$D9),"■","")</x:f>
      </x:c>
      <x:c r="O9" s="40" t="str">
        <x:f>IF(AND(O$4&lt;=$E9,O$4+6&gt;=$D9),"■","")</x:f>
      </x:c>
      <x:c r="P9" s="40" t="str">
        <x:f>IF(AND(P$4&lt;=$E9,P$4+6&gt;=$D9),"■","")</x:f>
      </x:c>
      <x:c r="Q9" s="40" t="str">
        <x:f>IF(AND(Q$4&lt;=$E9,Q$4+6&gt;=$D9),"■","")</x:f>
      </x:c>
    </x:row>
    <x:row r="10" ht="54" customHeight="1">
      <x:c r="A10" s="30" t="str">
        <x:v>M05</x:v>
      </x:c>
      <x:c r="B10" s="15" t="str">
        <x:v>Knowledge system</x:v>
      </x:c>
      <x:c r="C10" s="20" t="str">
        <x:v>Atlas, Backstage, and Notes explain their relationship and privacy state consistently.</x:v>
      </x:c>
      <x:c r="D10" s="35" t="n">
        <x:v>46292.666666666664</x:v>
      </x:c>
      <x:c r="E10" s="35" t="n">
        <x:v>46297.666666666664</x:v>
      </x:c>
      <x:c r="F10" s="36" t="n">
        <x:f>E10-D10+1</x:f>
        <x:v>6</x:v>
      </x:c>
      <x:c r="G10" s="36" t="str">
        <x:v>Medium</x:v>
      </x:c>
      <x:c r="H10" s="36" t="str">
        <x:v>Not started</x:v>
      </x:c>
      <x:c r="I10" s="38" t="str">
        <x:v>Codex</x:v>
      </x:c>
      <x:c r="J10" s="38" t="str">
        <x:v>M01</x:v>
      </x:c>
      <x:c r="K10" s="20" t="str">
        <x:v>Shared orientation copy</x:v>
      </x:c>
      <x:c r="L10" s="40" t="str">
        <x:f>IF(AND(L$4&lt;=$E10,L$4+6&gt;=$D10),"■","")</x:f>
      </x:c>
      <x:c r="M10" s="40" t="str">
        <x:f>IF(AND(M$4&lt;=$E10,M$4+6&gt;=$D10),"■","")</x:f>
        <x:v>■</x:v>
      </x:c>
      <x:c r="N10" s="40" t="str">
        <x:f>IF(AND(N$4&lt;=$E10,N$4+6&gt;=$D10),"■","")</x:f>
        <x:v>■</x:v>
      </x:c>
      <x:c r="O10" s="40" t="str">
        <x:f>IF(AND(O$4&lt;=$E10,O$4+6&gt;=$D10),"■","")</x:f>
      </x:c>
      <x:c r="P10" s="40" t="str">
        <x:f>IF(AND(P$4&lt;=$E10,P$4+6&gt;=$D10),"■","")</x:f>
      </x:c>
      <x:c r="Q10" s="40" t="str">
        <x:f>IF(AND(Q$4&lt;=$E10,Q$4+6&gt;=$D10),"■","")</x:f>
      </x:c>
    </x:row>
    <x:row r="11" ht="54" customHeight="1">
      <x:c r="A11" s="30" t="str">
        <x:v>M06</x:v>
      </x:c>
      <x:c r="B11" s="15" t="str">
        <x:v>Portfolio and privacy</x:v>
      </x:c>
      <x:c r="C11" s="20" t="str">
        <x:v>The tracker communicates freshness, visibility, and limits before revealing any figures.</x:v>
      </x:c>
      <x:c r="D11" s="35" t="n">
        <x:v>46298.666666666664</x:v>
      </x:c>
      <x:c r="E11" s="35" t="n">
        <x:v>46304.666666666664</x:v>
      </x:c>
      <x:c r="F11" s="36" t="n">
        <x:f>E11-D11+1</x:f>
        <x:v>7</x:v>
      </x:c>
      <x:c r="G11" s="36" t="str">
        <x:v>High</x:v>
      </x:c>
      <x:c r="H11" s="36" t="str">
        <x:v>Blocked</x:v>
      </x:c>
      <x:c r="I11" s="38" t="str">
        <x:v>Pierson + Codex</x:v>
      </x:c>
      <x:c r="J11" s="38" t="str">
        <x:v>Privacy choice; secret setup</x:v>
      </x:c>
      <x:c r="K11" s="20" t="str">
        <x:v>Hardened tracker flow</x:v>
      </x:c>
      <x:c r="L11" s="40" t="str">
        <x:f>IF(AND(L$4&lt;=$E11,L$4+6&gt;=$D11),"■","")</x:f>
      </x:c>
      <x:c r="M11" s="40" t="str">
        <x:f>IF(AND(M$4&lt;=$E11,M$4+6&gt;=$D11),"■","")</x:f>
      </x:c>
      <x:c r="N11" s="40" t="str">
        <x:f>IF(AND(N$4&lt;=$E11,N$4+6&gt;=$D11),"■","")</x:f>
        <x:v>■</x:v>
      </x:c>
      <x:c r="O11" s="40" t="str">
        <x:f>IF(AND(O$4&lt;=$E11,O$4+6&gt;=$D11),"■","")</x:f>
        <x:v>■</x:v>
      </x:c>
      <x:c r="P11" s="40" t="str">
        <x:f>IF(AND(P$4&lt;=$E11,P$4+6&gt;=$D11),"■","")</x:f>
      </x:c>
      <x:c r="Q11" s="40" t="str">
        <x:f>IF(AND(Q$4&lt;=$E11,Q$4+6&gt;=$D11),"■","")</x:f>
      </x:c>
    </x:row>
    <x:row r="12" ht="54" customHeight="1">
      <x:c r="A12" s="30" t="str">
        <x:v>M07</x:v>
      </x:c>
      <x:c r="B12" s="15" t="str">
        <x:v>Discoverability and quality</x:v>
      </x:c>
      <x:c r="C12" s="20" t="str">
        <x:v>Every public module is fast, accessible, link-safe, and accurately described to search and AI systems.</x:v>
      </x:c>
      <x:c r="D12" s="35" t="n">
        <x:v>46305.666666666664</x:v>
      </x:c>
      <x:c r="E12" s="35" t="n">
        <x:v>46308.666666666664</x:v>
      </x:c>
      <x:c r="F12" s="36" t="n">
        <x:f>E12-D12+1</x:f>
        <x:v>4</x:v>
      </x:c>
      <x:c r="G12" s="36" t="str">
        <x:v>High</x:v>
      </x:c>
      <x:c r="H12" s="36" t="str">
        <x:v>Not started</x:v>
      </x:c>
      <x:c r="I12" s="38" t="str">
        <x:v>Codex</x:v>
      </x:c>
      <x:c r="J12" s="38" t="str">
        <x:v>M02-M06</x:v>
      </x:c>
      <x:c r="K12" s="20" t="str">
        <x:v>QA report + crawl kit</x:v>
      </x:c>
      <x:c r="L12" s="40" t="str">
        <x:f>IF(AND(L$4&lt;=$E12,L$4+6&gt;=$D12),"■","")</x:f>
      </x:c>
      <x:c r="M12" s="40" t="str">
        <x:f>IF(AND(M$4&lt;=$E12,M$4+6&gt;=$D12),"■","")</x:f>
      </x:c>
      <x:c r="N12" s="40" t="str">
        <x:f>IF(AND(N$4&lt;=$E12,N$4+6&gt;=$D12),"■","")</x:f>
      </x:c>
      <x:c r="O12" s="40" t="str">
        <x:f>IF(AND(O$4&lt;=$E12,O$4+6&gt;=$D12),"■","")</x:f>
        <x:v>■</x:v>
      </x:c>
      <x:c r="P12" s="40" t="str">
        <x:f>IF(AND(P$4&lt;=$E12,P$4+6&gt;=$D12),"■","")</x:f>
        <x:v>■</x:v>
      </x:c>
      <x:c r="Q12" s="40" t="str">
        <x:f>IF(AND(Q$4&lt;=$E12,Q$4+6&gt;=$D12),"■","")</x:f>
      </x:c>
    </x:row>
    <x:row r="13" ht="54" customHeight="1">
      <x:c r="A13" s="30" t="str">
        <x:v>M08</x:v>
      </x:c>
      <x:c r="B13" s="15" t="str">
        <x:v>Launch and cadence</x:v>
      </x:c>
      <x:c r="C13" s="20" t="str">
        <x:v>The site has a repeatable release checklist, update owner, and monthly maintenance rhythm.</x:v>
      </x:c>
      <x:c r="D13" s="35" t="n">
        <x:v>46309.666666666664</x:v>
      </x:c>
      <x:c r="E13" s="35" t="n">
        <x:v>46312.666666666664</x:v>
      </x:c>
      <x:c r="F13" s="36" t="n">
        <x:f>E13-D13+1</x:f>
        <x:v>4</x:v>
      </x:c>
      <x:c r="G13" s="36" t="str">
        <x:v>Medium</x:v>
      </x:c>
      <x:c r="H13" s="36" t="str">
        <x:v>Not started</x:v>
      </x:c>
      <x:c r="I13" s="38" t="str">
        <x:v>Pierson + Codex</x:v>
      </x:c>
      <x:c r="J13" s="38" t="str">
        <x:v>M07</x:v>
      </x:c>
      <x:c r="K13" s="20" t="str">
        <x:v>Launch checklist</x:v>
      </x:c>
      <x:c r="L13" s="40" t="str">
        <x:f>IF(AND(L$4&lt;=$E13,L$4+6&gt;=$D13),"■","")</x:f>
      </x:c>
      <x:c r="M13" s="40" t="str">
        <x:f>IF(AND(M$4&lt;=$E13,M$4+6&gt;=$D13),"■","")</x:f>
      </x:c>
      <x:c r="N13" s="40" t="str">
        <x:f>IF(AND(N$4&lt;=$E13,N$4+6&gt;=$D13),"■","")</x:f>
      </x:c>
      <x:c r="O13" s="40" t="str">
        <x:f>IF(AND(O$4&lt;=$E13,O$4+6&gt;=$D13),"■","")</x:f>
      </x:c>
      <x:c r="P13" s="40" t="str">
        <x:f>IF(AND(P$4&lt;=$E13,P$4+6&gt;=$D13),"■","")</x:f>
        <x:v>■</x:v>
      </x:c>
      <x:c r="Q13" s="40" t="str">
        <x:f>IF(AND(Q$4&lt;=$E13,Q$4+6&gt;=$D13),"■","")</x:f>
      </x:c>
    </x:row>
  </x:sheetData>
  <x:conditionalFormatting sqref="L5:Q13">
    <x:cfRule type="containsText" dxfId="0" priority="1" operator="containsText" text="■"/>
  </x:conditionalFormatting>
  <x:conditionalFormatting sqref="H5:H13">
    <x:cfRule type="containsText" dxfId="1" priority="2" operator="containsText" text="Complete"/>
    <x:cfRule type="containsText" dxfId="2" priority="3" operator="containsText" text="In progress"/>
    <x:cfRule type="containsText" dxfId="3" priority="4" operator="containsText" text="Blocked"/>
    <x:cfRule type="containsText" dxfId="4" priority="5" operator="containsText" text="Not started"/>
  </x:conditionalFormatting>
  <x:dataValidations count="1">
    <x:dataValidation type="list" sqref="H5:H13">
      <x:formula1>"Complete,In progress,Blocked,Not started"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44" hidden="0" customWidth="1"/>
    <x:col min="4" max="4" width="16" hidden="0" customWidth="1"/>
    <x:col min="5" max="5" width="12" hidden="0" customWidth="1"/>
    <x:col min="6" max="6" width="12" hidden="0" customWidth="1"/>
    <x:col min="7" max="7" width="14" hidden="0" customWidth="1"/>
    <x:col min="8" max="8" width="21" hidden="0" customWidth="1"/>
    <x:col min="9" max="9" width="39" hidden="0" customWidth="1"/>
    <x:col min="10" max="10" width="22" hidden="0" customWidth="1"/>
  </x:cols>
  <x:sheetData>
    <x:row r="1" ht="24" customHeight="1">
      <x:c r="A1" s="2" t="str">
        <x:v>Task detail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3" t="str">
        <x:v>The working checklist behind each module. Status is editable; acceptance evidence defines done.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 ht="32" customHeight="1">
      <x:c r="A4" s="9" t="str">
        <x:v>Module</x:v>
      </x:c>
      <x:c r="B4" s="9" t="str">
        <x:v>Task</x:v>
      </x:c>
      <x:c r="C4" s="9" t="str">
        <x:v>Outcome</x:v>
      </x:c>
      <x:c r="D4" s="9" t="str">
        <x:v>Owner</x:v>
      </x:c>
      <x:c r="E4" s="9" t="str">
        <x:v>Start</x:v>
      </x:c>
      <x:c r="F4" s="9" t="str">
        <x:v>Finish</x:v>
      </x:c>
      <x:c r="G4" s="9" t="str">
        <x:v>Status</x:v>
      </x:c>
      <x:c r="H4" s="9" t="str">
        <x:v>Dependency</x:v>
      </x:c>
      <x:c r="I4" s="9" t="str">
        <x:v>Acceptance evidence</x:v>
      </x:c>
      <x:c r="J4" s="9" t="str">
        <x:v>Site path</x:v>
      </x:c>
    </x:row>
    <x:row r="5" ht="50" customHeight="1">
      <x:c r="A5" s="29" t="str">
        <x:v>M00</x:v>
      </x:c>
      <x:c r="B5" s="41" t="str">
        <x:v>Inventory public routes and test coverage</x:v>
      </x:c>
      <x:c r="C5" s="19" t="str">
        <x:v>No existing feature is accidentally replaced</x:v>
      </x:c>
      <x:c r="D5" s="34" t="str">
        <x:v>Codex</x:v>
      </x:c>
      <x:c r="E5" s="33" t="n">
        <x:v>46278.666666666664</x:v>
      </x:c>
      <x:c r="F5" s="33" t="n">
        <x:v>46278.666666666664</x:v>
      </x:c>
      <x:c r="G5" s="34" t="str">
        <x:v>Complete</x:v>
      </x:c>
      <x:c r="H5" s="37" t="str">
        <x:v>None</x:v>
      </x:c>
      <x:c r="I5" s="19" t="str">
        <x:v>Route map and baseline tests recorded</x:v>
      </x:c>
      <x:c r="J5" s="19" t="str">
        <x:v>Repository</x:v>
      </x:c>
    </x:row>
    <x:row r="6" ht="50" customHeight="1">
      <x:c r="A6" s="30" t="str">
        <x:v>M00</x:v>
      </x:c>
      <x:c r="B6" s="42" t="str">
        <x:v>Review both Google Drive contexts</x:v>
      </x:c>
      <x:c r="C6" s="20" t="str">
        <x:v>Relevant portfolio facts are grounded; unrelated service-site material is separated</x:v>
      </x:c>
      <x:c r="D6" s="36" t="str">
        <x:v>Codex</x:v>
      </x:c>
      <x:c r="E6" s="35" t="n">
        <x:v>46278.666666666664</x:v>
      </x:c>
      <x:c r="F6" s="35" t="n">
        <x:v>46278.666666666664</x:v>
      </x:c>
      <x:c r="G6" s="36" t="str">
        <x:v>Complete</x:v>
      </x:c>
      <x:c r="H6" s="38" t="str">
        <x:v>Drive access</x:v>
      </x:c>
      <x:c r="I6" s="20" t="str">
        <x:v>Source log distinguishes personal and school contexts</x:v>
      </x:c>
      <x:c r="J6" s="20" t="str">
        <x:v>Private source review</x:v>
      </x:c>
    </x:row>
    <x:row r="7" ht="50" customHeight="1">
      <x:c r="A7" s="30" t="str">
        <x:v>M00</x:v>
      </x:c>
      <x:c r="B7" s="42" t="str">
        <x:v>Review Word and OneDrive material</x:v>
      </x:c>
      <x:c r="C7" s="20" t="str">
        <x:v>Legacy résumé and SEO drafts inform decisions without becoming public copy</x:v>
      </x:c>
      <x:c r="D7" s="36" t="str">
        <x:v>Codex</x:v>
      </x:c>
      <x:c r="E7" s="35" t="n">
        <x:v>46278.666666666664</x:v>
      </x:c>
      <x:c r="F7" s="35" t="n">
        <x:v>46278.666666666664</x:v>
      </x:c>
      <x:c r="G7" s="36" t="str">
        <x:v>Complete</x:v>
      </x:c>
      <x:c r="H7" s="38" t="str">
        <x:v>OneDrive access</x:v>
      </x:c>
      <x:c r="I7" s="20" t="str">
        <x:v>Excluded claims and legacy language are documented</x:v>
      </x:c>
      <x:c r="J7" s="20" t="str">
        <x:v>Private source review</x:v>
      </x:c>
    </x:row>
    <x:row r="8" ht="50" customHeight="1">
      <x:c r="A8" s="30" t="str">
        <x:v>M01</x:v>
      </x:c>
      <x:c r="B8" s="42" t="str">
        <x:v>Create a module index</x:v>
      </x:c>
      <x:c r="C8" s="20" t="str">
        <x:v>Visitors see the purpose and privacy state of every live section</x:v>
      </x:c>
      <x:c r="D8" s="36" t="str">
        <x:v>Codex</x:v>
      </x:c>
      <x:c r="E8" s="35" t="n">
        <x:v>46278.666666666664</x:v>
      </x:c>
      <x:c r="F8" s="35" t="n">
        <x:v>46279.666666666664</x:v>
      </x:c>
      <x:c r="G8" s="36" t="str">
        <x:v>In progress</x:v>
      </x:c>
      <x:c r="H8" s="38" t="str">
        <x:v>M00</x:v>
      </x:c>
      <x:c r="I8" s="20" t="str">
        <x:v>Seven module cards, working links, semantic headings</x:v>
      </x:c>
      <x:c r="J8" s="20" t="str">
        <x:v>/modules/</x:v>
      </x:c>
    </x:row>
    <x:row r="9" ht="50" customHeight="1">
      <x:c r="A9" s="30" t="str">
        <x:v>M01</x:v>
      </x:c>
      <x:c r="B9" s="42" t="str">
        <x:v>Replace the Home coming-soon strip</x:v>
      </x:c>
      <x:c r="C9" s="20" t="str">
        <x:v>No vague or dead destinations remain on Home</x:v>
      </x:c>
      <x:c r="D9" s="36" t="str">
        <x:v>Codex</x:v>
      </x:c>
      <x:c r="E9" s="35" t="n">
        <x:v>46278.666666666664</x:v>
      </x:c>
      <x:c r="F9" s="35" t="n">
        <x:v>46279.666666666664</x:v>
      </x:c>
      <x:c r="G9" s="36" t="str">
        <x:v>In progress</x:v>
      </x:c>
      <x:c r="H9" s="38" t="str">
        <x:v>Module index</x:v>
      </x:c>
      <x:c r="I9" s="20" t="str">
        <x:v>Home links to the module map and timeline workbook</x:v>
      </x:c>
      <x:c r="J9" s="20" t="str">
        <x:v>/</x:v>
      </x:c>
    </x:row>
    <x:row r="10" ht="50" customHeight="1">
      <x:c r="A10" s="30" t="str">
        <x:v>M01</x:v>
      </x:c>
      <x:c r="B10" s="42" t="str">
        <x:v>Link the plan workbook</x:v>
      </x:c>
      <x:c r="C10" s="20" t="str">
        <x:v>The schedule is downloadable from the module index</x:v>
      </x:c>
      <x:c r="D10" s="36" t="str">
        <x:v>Codex</x:v>
      </x:c>
      <x:c r="E10" s="35" t="n">
        <x:v>46278.666666666664</x:v>
      </x:c>
      <x:c r="F10" s="35" t="n">
        <x:v>46278.666666666664</x:v>
      </x:c>
      <x:c r="G10" s="36" t="str">
        <x:v>In progress</x:v>
      </x:c>
      <x:c r="H10" s="38" t="str">
        <x:v>Workbook export</x:v>
      </x:c>
      <x:c r="I10" s="20" t="str">
        <x:v>Workbook link returns the expected xlsx file</x:v>
      </x:c>
      <x:c r="J10" s="20" t="str">
        <x:v>/assets/planning/</x:v>
      </x:c>
    </x:row>
    <x:row r="11" ht="50" customHeight="1">
      <x:c r="A11" s="30" t="str">
        <x:v>M02</x:v>
      </x:c>
      <x:c r="B11" s="42" t="str">
        <x:v>Reduce competing Home actions</x:v>
      </x:c>
      <x:c r="C11" s="20" t="str">
        <x:v>Identity, experience, and module exploration lead the first viewport</x:v>
      </x:c>
      <x:c r="D11" s="36" t="str">
        <x:v>Codex</x:v>
      </x:c>
      <x:c r="E11" s="35" t="n">
        <x:v>46279.666666666664</x:v>
      </x:c>
      <x:c r="F11" s="35" t="n">
        <x:v>46280.666666666664</x:v>
      </x:c>
      <x:c r="G11" s="36" t="str">
        <x:v>Not started</x:v>
      </x:c>
      <x:c r="H11" s="38" t="str">
        <x:v>M01</x:v>
      </x:c>
      <x:c r="I11" s="20" t="str">
        <x:v>Three primary paths; no duplicate calls to action</x:v>
      </x:c>
      <x:c r="J11" s="20" t="str">
        <x:v>/</x:v>
      </x:c>
    </x:row>
    <x:row r="12" ht="50" customHeight="1">
      <x:c r="A12" s="30" t="str">
        <x:v>M02</x:v>
      </x:c>
      <x:c r="B12" s="42" t="str">
        <x:v>Rewrite current-state labels from a dated source</x:v>
      </x:c>
      <x:c r="C12" s="20" t="str">
        <x:v>Public status stays concrete and maintainable</x:v>
      </x:c>
      <x:c r="D12" s="36" t="str">
        <x:v>Pierson + Codex</x:v>
      </x:c>
      <x:c r="E12" s="35" t="n">
        <x:v>46280.666666666664</x:v>
      </x:c>
      <x:c r="F12" s="35" t="n">
        <x:v>46281.666666666664</x:v>
      </x:c>
      <x:c r="G12" s="36" t="str">
        <x:v>Not started</x:v>
      </x:c>
      <x:c r="H12" s="38" t="str">
        <x:v>Pierson confirmation</x:v>
      </x:c>
      <x:c r="I12" s="20" t="str">
        <x:v>Every status has a source date and owner</x:v>
      </x:c>
      <x:c r="J12" s="20" t="str">
        <x:v>/</x:v>
      </x:c>
    </x:row>
    <x:row r="13" ht="50" customHeight="1">
      <x:c r="A13" s="30" t="str">
        <x:v>M03</x:v>
      </x:c>
      <x:c r="B13" s="42" t="str">
        <x:v>Add year jump links</x:v>
      </x:c>
      <x:c r="C13" s="20" t="str">
        <x:v>Visitors can move directly to 2026, 2025, 2024, or 2023</x:v>
      </x:c>
      <x:c r="D13" s="36" t="str">
        <x:v>Codex</x:v>
      </x:c>
      <x:c r="E13" s="35" t="n">
        <x:v>46282.666666666664</x:v>
      </x:c>
      <x:c r="F13" s="35" t="n">
        <x:v>46282.666666666664</x:v>
      </x:c>
      <x:c r="G13" s="36" t="str">
        <x:v>Not started</x:v>
      </x:c>
      <x:c r="H13" s="38" t="str">
        <x:v>M02</x:v>
      </x:c>
      <x:c r="I13" s="20" t="str">
        <x:v>Keyboard-accessible links land below sticky controls</x:v>
      </x:c>
      <x:c r="J13" s="20" t="str">
        <x:v>/experience/</x:v>
      </x:c>
    </x:row>
    <x:row r="14" ht="50" customHeight="1">
      <x:c r="A14" s="30" t="str">
        <x:v>M03</x:v>
      </x:c>
      <x:c r="B14" s="42" t="str">
        <x:v>Resolve public open-question boxes</x:v>
      </x:c>
      <x:c r="C14" s="20" t="str">
        <x:v>The timeline contains confirmed claims, not editorial notes</x:v>
      </x:c>
      <x:c r="D14" s="36" t="str">
        <x:v>Pierson</x:v>
      </x:c>
      <x:c r="E14" s="35" t="n">
        <x:v>46282.666666666664</x:v>
      </x:c>
      <x:c r="F14" s="35" t="n">
        <x:v>46283.666666666664</x:v>
      </x:c>
      <x:c r="G14" s="36" t="str">
        <x:v>Blocked</x:v>
      </x:c>
      <x:c r="H14" s="38" t="str">
        <x:v>Decision D01-D05</x:v>
      </x:c>
      <x:c r="I14" s="20" t="str">
        <x:v>No public box is labelled Open - Pierson</x:v>
      </x:c>
      <x:c r="J14" s="20" t="str">
        <x:v>/experience/</x:v>
      </x:c>
    </x:row>
    <x:row r="15" ht="50" customHeight="1">
      <x:c r="A15" s="30" t="str">
        <x:v>M03</x:v>
      </x:c>
      <x:c r="B15" s="42" t="str">
        <x:v>Tighten the 2024 and 2025 scan path</x:v>
      </x:c>
      <x:c r="C15" s="20" t="str">
        <x:v>Thin years read intentionally rather than unfinished</x:v>
      </x:c>
      <x:c r="D15" s="36" t="str">
        <x:v>Pierson + Codex</x:v>
      </x:c>
      <x:c r="E15" s="35" t="n">
        <x:v>46283.666666666664</x:v>
      </x:c>
      <x:c r="F15" s="35" t="n">
        <x:v>46284.666666666664</x:v>
      </x:c>
      <x:c r="G15" s="36" t="str">
        <x:v>Blocked</x:v>
      </x:c>
      <x:c r="H15" s="38" t="str">
        <x:v>Pierson facts</x:v>
      </x:c>
      <x:c r="I15" s="20" t="str">
        <x:v>Each retained year has one verified anchor</x:v>
      </x:c>
      <x:c r="J15" s="20" t="str">
        <x:v>/experience/</x:v>
      </x:c>
    </x:row>
    <x:row r="16" ht="50" customHeight="1">
      <x:c r="A16" s="30" t="str">
        <x:v>M04</x:v>
      </x:c>
      <x:c r="B16" s="42" t="str">
        <x:v>Build About from confirmed paragraphs</x:v>
      </x:c>
      <x:c r="C16" s="20" t="str">
        <x:v>A reader understands the through-line in under two minutes</x:v>
      </x:c>
      <x:c r="D16" s="36" t="str">
        <x:v>Codex</x:v>
      </x:c>
      <x:c r="E16" s="35" t="n">
        <x:v>46285.666666666664</x:v>
      </x:c>
      <x:c r="F16" s="35" t="n">
        <x:v>46286.666666666664</x:v>
      </x:c>
      <x:c r="G16" s="36" t="str">
        <x:v>Blocked</x:v>
      </x:c>
      <x:c r="H16" s="38" t="str">
        <x:v>D01; D05</x:v>
      </x:c>
      <x:c r="I16" s="20" t="str">
        <x:v>One H1, 250-350 words, no placeholders</x:v>
      </x:c>
      <x:c r="J16" s="20" t="str">
        <x:v>/about/</x:v>
      </x:c>
    </x:row>
    <x:row r="17" ht="50" customHeight="1">
      <x:c r="A17" s="30" t="str">
        <x:v>M04</x:v>
      </x:c>
      <x:c r="B17" s="42" t="str">
        <x:v>Build Projects as proof cards</x:v>
      </x:c>
      <x:c r="C17" s="20" t="str">
        <x:v>Work examples show problem, action, and outcome</x:v>
      </x:c>
      <x:c r="D17" s="36" t="str">
        <x:v>Codex</x:v>
      </x:c>
      <x:c r="E17" s="35" t="n">
        <x:v>46287.666666666664</x:v>
      </x:c>
      <x:c r="F17" s="35" t="n">
        <x:v>46288.666666666664</x:v>
      </x:c>
      <x:c r="G17" s="36" t="str">
        <x:v>Blocked</x:v>
      </x:c>
      <x:c r="H17" s="38" t="str">
        <x:v>D02-D04</x:v>
      </x:c>
      <x:c r="I17" s="20" t="str">
        <x:v>Four confirmed projects with valid destinations</x:v>
      </x:c>
      <x:c r="J17" s="20" t="str">
        <x:v>/projects/</x:v>
      </x:c>
    </x:row>
    <x:row r="18" ht="50" customHeight="1">
      <x:c r="A18" s="30" t="str">
        <x:v>M04</x:v>
      </x:c>
      <x:c r="B18" s="42" t="str">
        <x:v>Build Tools hub</x:v>
      </x:c>
      <x:c r="C18" s="20" t="str">
        <x:v>Public and private tools have clear access and data boundaries</x:v>
      </x:c>
      <x:c r="D18" s="36" t="str">
        <x:v>Codex</x:v>
      </x:c>
      <x:c r="E18" s="35" t="n">
        <x:v>46289.666666666664</x:v>
      </x:c>
      <x:c r="F18" s="35" t="n">
        <x:v>46289.666666666664</x:v>
      </x:c>
      <x:c r="G18" s="36" t="str">
        <x:v>Not started</x:v>
      </x:c>
      <x:c r="H18" s="38" t="str">
        <x:v>M06 wording</x:v>
      </x:c>
      <x:c r="I18" s="20" t="str">
        <x:v>Tracker card states visibility and freshness</x:v>
      </x:c>
      <x:c r="J18" s="20" t="str">
        <x:v>/tools/</x:v>
      </x:c>
    </x:row>
    <x:row r="19" ht="50" customHeight="1">
      <x:c r="A19" s="30" t="str">
        <x:v>M04</x:v>
      </x:c>
      <x:c r="B19" s="42" t="str">
        <x:v>Build Contact without a form</x:v>
      </x:c>
      <x:c r="C19" s="20" t="str">
        <x:v>Visitors can choose email, LinkedIn, or GitHub without a broken workflow</x:v>
      </x:c>
      <x:c r="D19" s="36" t="str">
        <x:v>Pierson + Codex</x:v>
      </x:c>
      <x:c r="E19" s="35" t="n">
        <x:v>46290.666666666664</x:v>
      </x:c>
      <x:c r="F19" s="35" t="n">
        <x:v>46291.666666666664</x:v>
      </x:c>
      <x:c r="G19" s="36" t="str">
        <x:v>Blocked</x:v>
      </x:c>
      <x:c r="H19" s="38" t="str">
        <x:v>D06-D07</x:v>
      </x:c>
      <x:c r="I19" s="20" t="str">
        <x:v>Every public contact link is confirmed and works</x:v>
      </x:c>
      <x:c r="J19" s="20" t="str">
        <x:v>/contact/</x:v>
      </x:c>
    </x:row>
    <x:row r="20" ht="50" customHeight="1">
      <x:c r="A20" s="30" t="str">
        <x:v>M05</x:v>
      </x:c>
      <x:c r="B20" s="42" t="str">
        <x:v>Add shared orientation copy</x:v>
      </x:c>
      <x:c r="C20" s="20" t="str">
        <x:v>Atlas, Backstage, and Notes answer what, why, and privacy state consistently</x:v>
      </x:c>
      <x:c r="D20" s="36" t="str">
        <x:v>Codex</x:v>
      </x:c>
      <x:c r="E20" s="35" t="n">
        <x:v>46292.666666666664</x:v>
      </x:c>
      <x:c r="F20" s="35" t="n">
        <x:v>46294.666666666664</x:v>
      </x:c>
      <x:c r="G20" s="36" t="str">
        <x:v>Not started</x:v>
      </x:c>
      <x:c r="H20" s="38" t="str">
        <x:v>M01</x:v>
      </x:c>
      <x:c r="I20" s="20" t="str">
        <x:v>Same three-field pattern appears on all three modules</x:v>
      </x:c>
      <x:c r="J20" s="20" t="str">
        <x:v>Knowledge modules</x:v>
      </x:c>
    </x:row>
    <x:row r="21" ht="50" customHeight="1">
      <x:c r="A21" s="30" t="str">
        <x:v>M05</x:v>
      </x:c>
      <x:c r="B21" s="42" t="str">
        <x:v>Test mobile compositions</x:v>
      </x:c>
      <x:c r="C21" s="20" t="str">
        <x:v>Bottle, stars, vault, and studio remain legible in portrait</x:v>
      </x:c>
      <x:c r="D21" s="36" t="str">
        <x:v>Codex</x:v>
      </x:c>
      <x:c r="E21" s="35" t="n">
        <x:v>46295.666666666664</x:v>
      </x:c>
      <x:c r="F21" s="35" t="n">
        <x:v>46297.666666666664</x:v>
      </x:c>
      <x:c r="G21" s="36" t="str">
        <x:v>Not started</x:v>
      </x:c>
      <x:c r="H21" s="38" t="str">
        <x:v>Orientation copy</x:v>
      </x:c>
      <x:c r="I21" s="20" t="str">
        <x:v>375px and 768px screenshots show no clipping</x:v>
      </x:c>
      <x:c r="J21" s="20" t="str">
        <x:v>Knowledge modules</x:v>
      </x:c>
    </x:row>
    <x:row r="22" ht="50" customHeight="1">
      <x:c r="A22" s="30" t="str">
        <x:v>M06</x:v>
      </x:c>
      <x:c r="B22" s="42" t="str">
        <x:v>Put privacy state before portfolio data</x:v>
      </x:c>
      <x:c r="C22" s="20" t="str">
        <x:v>Visitors know whether figures are public, obscured, or private before interaction</x:v>
      </x:c>
      <x:c r="D22" s="36" t="str">
        <x:v>Codex</x:v>
      </x:c>
      <x:c r="E22" s="35" t="n">
        <x:v>46298.666666666664</x:v>
      </x:c>
      <x:c r="F22" s="35" t="n">
        <x:v>46300.666666666664</x:v>
      </x:c>
      <x:c r="G22" s="36" t="str">
        <x:v>Blocked</x:v>
      </x:c>
      <x:c r="H22" s="38" t="str">
        <x:v>D08</x:v>
      </x:c>
      <x:c r="I22" s="20" t="str">
        <x:v>Visibility statement precedes all holdings UI</x:v>
      </x:c>
      <x:c r="J22" s="20" t="str">
        <x:v>/tools/tracker/</x:v>
      </x:c>
    </x:row>
    <x:row r="23" ht="50" customHeight="1">
      <x:c r="A23" s="30" t="str">
        <x:v>M06</x:v>
      </x:c>
      <x:c r="B23" s="42" t="str">
        <x:v>Reconcile monthly-tab naming</x:v>
      </x:c>
      <x:c r="C23" s="20" t="str">
        <x:v>New tabs appear without hardcoded month names</x:v>
      </x:c>
      <x:c r="D23" s="36" t="str">
        <x:v>Codex</x:v>
      </x:c>
      <x:c r="E23" s="35" t="n">
        <x:v>46301.666666666664</x:v>
      </x:c>
      <x:c r="F23" s="35" t="n">
        <x:v>46302.666666666664</x:v>
      </x:c>
      <x:c r="G23" s="36" t="str">
        <x:v>Not started</x:v>
      </x:c>
      <x:c r="H23" s="38" t="str">
        <x:v>Sheet read access</x:v>
      </x:c>
      <x:c r="I23" s="20" t="str">
        <x:v>August and Early September both parse into five platform sections</x:v>
      </x:c>
      <x:c r="J23" s="20" t="str">
        <x:v>Tracker build</x:v>
      </x:c>
    </x:row>
    <x:row r="24" ht="50" customHeight="1">
      <x:c r="A24" s="30" t="str">
        <x:v>M06</x:v>
      </x:c>
      <x:c r="B24" s="42" t="str">
        <x:v>Add freshness and error states</x:v>
      </x:c>
      <x:c r="C24" s="20" t="str">
        <x:v>Stale data is obvious and never presented as live</x:v>
      </x:c>
      <x:c r="D24" s="36" t="str">
        <x:v>Codex</x:v>
      </x:c>
      <x:c r="E24" s="35" t="n">
        <x:v>46303.666666666664</x:v>
      </x:c>
      <x:c r="F24" s="35" t="n">
        <x:v>46304.666666666664</x:v>
      </x:c>
      <x:c r="G24" s="36" t="str">
        <x:v>Not started</x:v>
      </x:c>
      <x:c r="H24" s="38" t="str">
        <x:v>Monthly parser</x:v>
      </x:c>
      <x:c r="I24" s="20" t="str">
        <x:v>Empty, stale, and fetch-failure paths are tested</x:v>
      </x:c>
      <x:c r="J24" s="20" t="str">
        <x:v>/tools/tracker/</x:v>
      </x:c>
    </x:row>
    <x:row r="25" ht="50" customHeight="1">
      <x:c r="A25" s="30" t="str">
        <x:v>M07</x:v>
      </x:c>
      <x:c r="B25" s="42" t="str">
        <x:v>Run link, heading, and console checks</x:v>
      </x:c>
      <x:c r="C25" s="20" t="str">
        <x:v>Broken navigation and invalid structure are caught before release</x:v>
      </x:c>
      <x:c r="D25" s="36" t="str">
        <x:v>Codex</x:v>
      </x:c>
      <x:c r="E25" s="35" t="n">
        <x:v>46305.666666666664</x:v>
      </x:c>
      <x:c r="F25" s="35" t="n">
        <x:v>46305.666666666664</x:v>
      </x:c>
      <x:c r="G25" s="36" t="str">
        <x:v>Not started</x:v>
      </x:c>
      <x:c r="H25" s="38" t="str">
        <x:v>M02-M06</x:v>
      </x:c>
      <x:c r="I25" s="20" t="str">
        <x:v>All internal links resolve; one H1 per page; no console errors</x:v>
      </x:c>
      <x:c r="J25" s="20" t="str">
        <x:v>All public routes</x:v>
      </x:c>
    </x:row>
    <x:row r="26" ht="50" customHeight="1">
      <x:c r="A26" s="30" t="str">
        <x:v>M07</x:v>
      </x:c>
      <x:c r="B26" s="42" t="str">
        <x:v>Finish social-preview metadata</x:v>
      </x:c>
      <x:c r="C26" s="20" t="str">
        <x:v>Shared links have a deliberate image and accurate description</x:v>
      </x:c>
      <x:c r="D26" s="36" t="str">
        <x:v>Pierson + Codex</x:v>
      </x:c>
      <x:c r="E26" s="35" t="n">
        <x:v>46306.666666666664</x:v>
      </x:c>
      <x:c r="F26" s="35" t="n">
        <x:v>46307.666666666664</x:v>
      </x:c>
      <x:c r="G26" s="36" t="str">
        <x:v>Blocked</x:v>
      </x:c>
      <x:c r="H26" s="38" t="str">
        <x:v>D09</x:v>
      </x:c>
      <x:c r="I26" s="20" t="str">
        <x:v>Open Graph image is raster, sized, and reachable</x:v>
      </x:c>
      <x:c r="J26" s="20" t="str">
        <x:v>Head metadata</x:v>
      </x:c>
    </x:row>
    <x:row r="27" ht="50" customHeight="1">
      <x:c r="A27" s="30" t="str">
        <x:v>M07</x:v>
      </x:c>
      <x:c r="B27" s="42" t="str">
        <x:v>Run mobile and reduced-motion review</x:v>
      </x:c>
      <x:c r="C27" s="20" t="str">
        <x:v>Core content works at 360px and without animation</x:v>
      </x:c>
      <x:c r="D27" s="36" t="str">
        <x:v>Codex</x:v>
      </x:c>
      <x:c r="E27" s="35" t="n">
        <x:v>46307.666666666664</x:v>
      </x:c>
      <x:c r="F27" s="35" t="n">
        <x:v>46308.666666666664</x:v>
      </x:c>
      <x:c r="G27" s="36" t="str">
        <x:v>Not started</x:v>
      </x:c>
      <x:c r="H27" s="38" t="str">
        <x:v>All modules</x:v>
      </x:c>
      <x:c r="I27" s="20" t="str">
        <x:v>No sideways scroll; focus visible; reduced-motion path verified</x:v>
      </x:c>
      <x:c r="J27" s="20" t="str">
        <x:v>All public routes</x:v>
      </x:c>
    </x:row>
    <x:row r="28" ht="50" customHeight="1">
      <x:c r="A28" s="30" t="str">
        <x:v>M08</x:v>
      </x:c>
      <x:c r="B28" s="42" t="str">
        <x:v>Create release checklist</x:v>
      </x:c>
      <x:c r="C28" s="20" t="str">
        <x:v>Every launch uses the same evidence gate</x:v>
      </x:c>
      <x:c r="D28" s="36" t="str">
        <x:v>Codex</x:v>
      </x:c>
      <x:c r="E28" s="35" t="n">
        <x:v>46309.666666666664</x:v>
      </x:c>
      <x:c r="F28" s="35" t="n">
        <x:v>46310.666666666664</x:v>
      </x:c>
      <x:c r="G28" s="36" t="str">
        <x:v>Not started</x:v>
      </x:c>
      <x:c r="H28" s="38" t="str">
        <x:v>M07</x:v>
      </x:c>
      <x:c r="I28" s="20" t="str">
        <x:v>Checklist includes privacy grep, tests, links, mobile, metadata</x:v>
      </x:c>
      <x:c r="J28" s="20" t="str">
        <x:v>Repository docs</x:v>
      </x:c>
    </x:row>
    <x:row r="29" ht="50" customHeight="1">
      <x:c r="A29" s="30" t="str">
        <x:v>M08</x:v>
      </x:c>
      <x:c r="B29" s="42" t="str">
        <x:v>Assign monthly upkeep</x:v>
      </x:c>
      <x:c r="C29" s="20" t="str">
        <x:v>Each dynamic source has an owner and refresh trigger</x:v>
      </x:c>
      <x:c r="D29" s="36" t="str">
        <x:v>Pierson</x:v>
      </x:c>
      <x:c r="E29" s="35" t="n">
        <x:v>46311.666666666664</x:v>
      </x:c>
      <x:c r="F29" s="35" t="n">
        <x:v>46312.666666666664</x:v>
      </x:c>
      <x:c r="G29" s="36" t="str">
        <x:v>Not started</x:v>
      </x:c>
      <x:c r="H29" s="38" t="str">
        <x:v>Release checklist</x:v>
      </x:c>
      <x:c r="I29" s="20" t="str">
        <x:v>Owner and cadence exist for tracker, timeline, résumé, and crawl kit</x:v>
      </x:c>
      <x:c r="J29" s="20" t="str">
        <x:v>Maintenance plan</x:v>
      </x:c>
    </x:row>
  </x:sheetData>
  <x:conditionalFormatting sqref="G5:G29">
    <x:cfRule type="containsText" dxfId="5" priority="1" operator="containsText" text="Complete"/>
    <x:cfRule type="containsText" dxfId="6" priority="2" operator="containsText" text="In progress"/>
    <x:cfRule type="containsText" dxfId="7" priority="3" operator="containsText" text="Blocked"/>
    <x:cfRule type="containsText" dxfId="8" priority="4" operator="containsText" text="Not started"/>
  </x:conditionalFormatting>
  <x:dataValidations count="1">
    <x:dataValidation type="list" sqref="G5:G29">
      <x:formula1>"Complete,In progress,Blocked,Not started"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42" hidden="0" customWidth="1"/>
    <x:col min="4" max="4" width="42" hidden="0" customWidth="1"/>
    <x:col min="5" max="5" width="15" hidden="0" customWidth="1"/>
    <x:col min="6" max="6" width="13" hidden="0" customWidth="1"/>
    <x:col min="7" max="7" width="30" hidden="0" customWidth="1"/>
  </x:cols>
  <x:sheetData>
    <x:row r="1" ht="24" customHeight="1">
      <x:c r="A1" s="2" t="str">
        <x:v>Decisions needed</x:v>
      </x:c>
      <x:c r="B1" s="1"/>
      <x:c r="C1" s="1"/>
      <x:c r="D1" s="1"/>
      <x:c r="E1" s="1"/>
      <x:c r="F1" s="1"/>
      <x:c r="G1" s="1"/>
    </x:row>
    <x:row r="2" ht="24" customHeight="1">
      <x:c r="A2" s="3" t="str">
        <x:v>Only Pierson can close these content and privacy choices. Recommended defaults keep the site accurate until then.</x:v>
      </x:c>
      <x:c r="B2" s="3"/>
      <x:c r="C2" s="3"/>
      <x:c r="D2" s="3"/>
      <x:c r="E2" s="3"/>
      <x:c r="F2" s="3"/>
      <x:c r="G2" s="3"/>
    </x:row>
    <x:row r="4" ht="32" customHeight="1">
      <x:c r="A4" s="9" t="str">
        <x:v>ID</x:v>
      </x:c>
      <x:c r="B4" s="9" t="str">
        <x:v>Decision</x:v>
      </x:c>
      <x:c r="C4" s="9" t="str">
        <x:v>Why it matters</x:v>
      </x:c>
      <x:c r="D4" s="9" t="str">
        <x:v>Recommended default</x:v>
      </x:c>
      <x:c r="E4" s="9" t="str">
        <x:v>Needed before</x:v>
      </x:c>
      <x:c r="F4" s="9" t="str">
        <x:v>State</x:v>
      </x:c>
      <x:c r="G4" s="9" t="str">
        <x:v>Evidence to add</x:v>
      </x:c>
    </x:row>
    <x:row r="5" ht="52" customHeight="1">
      <x:c r="A5" s="29" t="str">
        <x:v>D01</x:v>
      </x:c>
      <x:c r="B5" s="19" t="str">
        <x:v>AI Club title and term</x:v>
      </x:c>
      <x:c r="C5" s="19" t="str">
        <x:v>Current pages say incoming president without exact dates</x:v>
      </x:c>
      <x:c r="D5" s="19" t="str">
        <x:v>Use member/leadership-neutral wording until confirmed</x:v>
      </x:c>
      <x:c r="E5" s="19" t="str">
        <x:v>M02-M04</x:v>
      </x:c>
      <x:c r="F5" s="34" t="str">
        <x:v>Open</x:v>
      </x:c>
      <x:c r="G5" s="12" t="str">
        <x:v>Exact title and start/end dates</x:v>
      </x:c>
    </x:row>
    <x:row r="6" ht="52" customHeight="1">
      <x:c r="A6" s="30" t="str">
        <x:v>D02</x:v>
      </x:c>
      <x:c r="B6" s="20" t="str">
        <x:v>True North legal/public name</x:v>
      </x:c>
      <x:c r="C6" s="20" t="str">
        <x:v>Source documents use multiple company names</x:v>
      </x:c>
      <x:c r="D6" s="20" t="str">
        <x:v>Keep True North Services LLC only where filing is confirmed</x:v>
      </x:c>
      <x:c r="E6" s="20" t="str">
        <x:v>M03-M04</x:v>
      </x:c>
      <x:c r="F6" s="36" t="str">
        <x:v>Open</x:v>
      </x:c>
      <x:c r="G6" s="13" t="str">
        <x:v>Preferred public name and filing name</x:v>
      </x:c>
    </x:row>
    <x:row r="7" ht="52" customHeight="1">
      <x:c r="A7" s="30" t="str">
        <x:v>D03</x:v>
      </x:c>
      <x:c r="B7" s="20" t="str">
        <x:v>Oasis to True North relationship</x:v>
      </x:c>
      <x:c r="C7" s="20" t="str">
        <x:v>The experience story changes if it was a rebrand versus a new company</x:v>
      </x:c>
      <x:c r="D7" s="20" t="str">
        <x:v>Describe as two chapters; do not claim a formal rebrand</x:v>
      </x:c>
      <x:c r="E7" s="20" t="str">
        <x:v>M03-M04</x:v>
      </x:c>
      <x:c r="F7" s="36" t="str">
        <x:v>Open</x:v>
      </x:c>
      <x:c r="G7" s="13" t="str">
        <x:v>One-sentence relationship</x:v>
      </x:c>
    </x:row>
    <x:row r="8" ht="52" customHeight="1">
      <x:c r="A8" s="30" t="str">
        <x:v>D04</x:v>
      </x:c>
      <x:c r="B8" s="20" t="str">
        <x:v>Student Maintenance entry</x:v>
      </x:c>
      <x:c r="C8" s="20" t="str">
        <x:v>Role, dates, and equity description are not confirmed for public use</x:v>
      </x:c>
      <x:c r="D8" s="20" t="str">
        <x:v>Omit from new pages until confirmed</x:v>
      </x:c>
      <x:c r="E8" s="20" t="str">
        <x:v>M03-M04</x:v>
      </x:c>
      <x:c r="F8" s="36" t="str">
        <x:v>Open</x:v>
      </x:c>
      <x:c r="G8" s="13" t="str">
        <x:v>Public role wording and dates</x:v>
      </x:c>
    </x:row>
    <x:row r="9" ht="52" customHeight="1">
      <x:c r="A9" s="30" t="str">
        <x:v>D05</x:v>
      </x:c>
      <x:c r="B9" s="20" t="str">
        <x:v>2027 direction</x:v>
      </x:c>
      <x:c r="C9" s="20" t="str">
        <x:v>About needs a closing point of view</x:v>
      </x:c>
      <x:c r="D9" s="20" t="str">
        <x:v>End with current work instead of predicting a job target</x:v>
      </x:c>
      <x:c r="E9" s="20" t="str">
        <x:v>M04</x:v>
      </x:c>
      <x:c r="F9" s="36" t="str">
        <x:v>Open</x:v>
      </x:c>
      <x:c r="G9" s="13" t="str">
        <x:v>One sentence on post-graduation direction</x:v>
      </x:c>
    </x:row>
    <x:row r="10" ht="52" customHeight="1">
      <x:c r="A10" s="30" t="str">
        <x:v>D06</x:v>
      </x:c>
      <x:c r="B10" s="20" t="str">
        <x:v>Public contact email</x:v>
      </x:c>
      <x:c r="C10" s="20" t="str">
        <x:v>The current Gmail address may not be the final professional address</x:v>
      </x:c>
      <x:c r="D10" s="20" t="str">
        <x:v>Keep the current address until a replacement exists</x:v>
      </x:c>
      <x:c r="E10" s="20" t="str">
        <x:v>M04</x:v>
      </x:c>
      <x:c r="F10" s="36" t="str">
        <x:v>Open</x:v>
      </x:c>
      <x:c r="G10" s="13" t="str">
        <x:v>Confirmed public email</x:v>
      </x:c>
    </x:row>
    <x:row r="11" ht="52" customHeight="1">
      <x:c r="A11" s="30" t="str">
        <x:v>D07</x:v>
      </x:c>
      <x:c r="B11" s="20" t="str">
        <x:v>GitHub profile URL</x:v>
      </x:c>
      <x:c r="C11" s="20" t="str">
        <x:v>The public contact page needs a working destination</x:v>
      </x:c>
      <x:c r="D11" s="20" t="str">
        <x:v>Omit GitHub until the username is confirmed</x:v>
      </x:c>
      <x:c r="E11" s="20" t="str">
        <x:v>M04</x:v>
      </x:c>
      <x:c r="F11" s="36" t="str">
        <x:v>Open</x:v>
      </x:c>
      <x:c r="G11" s="13" t="str">
        <x:v>Exact profile URL</x:v>
      </x:c>
    </x:row>
    <x:row r="12" ht="52" customHeight="1">
      <x:c r="A12" s="30" t="str">
        <x:v>D08</x:v>
      </x:c>
      <x:c r="B12" s="20" t="str">
        <x:v>Tracker visibility model</x:v>
      </x:c>
      <x:c r="C12" s="20" t="str">
        <x:v>Portfolio numbers are personal financial data</x:v>
      </x:c>
      <x:c r="D12" s="20" t="str">
        <x:v>Keep read-only, visibly labeled, and censored by default</x:v>
      </x:c>
      <x:c r="E12" s="20" t="str">
        <x:v>M06</x:v>
      </x:c>
      <x:c r="F12" s="36" t="str">
        <x:v>Open</x:v>
      </x:c>
      <x:c r="G12" s="13" t="str">
        <x:v>Public vs gated vs local-only choice</x:v>
      </x:c>
    </x:row>
    <x:row r="13" ht="52" customHeight="1">
      <x:c r="A13" s="30" t="str">
        <x:v>D09</x:v>
      </x:c>
      <x:c r="B13" s="20" t="str">
        <x:v>Social share image</x:v>
      </x:c>
      <x:c r="C13" s="20" t="str">
        <x:v>Open Graph metadata has no raster preview</x:v>
      </x:c>
      <x:c r="D13" s="20" t="str">
        <x:v>Use a simple branded PN card with no personal photo</x:v>
      </x:c>
      <x:c r="E13" s="20" t="str">
        <x:v>M07</x:v>
      </x:c>
      <x:c r="F13" s="36" t="str">
        <x:v>Open</x:v>
      </x:c>
      <x:c r="G13" s="13" t="str">
        <x:v>Approved PNG or approved design direction</x:v>
      </x:c>
    </x:row>
  </x:sheetData>
  <x:conditionalFormatting sqref="F5:F13">
    <x:cfRule type="containsText" dxfId="9" priority="1" operator="containsText" text="Open"/>
    <x:cfRule type="containsText" dxfId="10" priority="2" operator="containsText" text="Decided"/>
    <x:cfRule type="containsText" dxfId="11" priority="3" operator="containsText" text="Deferred"/>
  </x:conditionalFormatting>
  <x:dataValidations count="1">
    <x:dataValidation type="list" sqref="F5:F13">
      <x:formula1>"Open,Decided,Deferred"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9" hidden="0" customWidth="1"/>
    <x:col min="3" max="3" width="25" hidden="0" customWidth="1"/>
    <x:col min="4" max="4" width="38" hidden="0" customWidth="1"/>
    <x:col min="5" max="5" width="20" hidden="0" customWidth="1"/>
    <x:col min="6" max="6" width="14" hidden="0" customWidth="1"/>
    <x:col min="7" max="7" width="42" hidden="0" customWidth="1"/>
  </x:cols>
  <x:sheetData>
    <x:row r="1" ht="24" customHeight="1">
      <x:c r="A1" s="2" t="str">
        <x:v>Source map</x:v>
      </x:c>
      <x:c r="B1" s="1"/>
      <x:c r="C1" s="1"/>
      <x:c r="D1" s="1"/>
      <x:c r="E1" s="1"/>
      <x:c r="F1" s="1"/>
      <x:c r="G1" s="1"/>
    </x:row>
    <x:row r="2" ht="24" customHeight="1">
      <x:c r="A2" s="3" t="str">
        <x:v>Private sources are named only at a safe level. Their file IDs, holdings, credentials, and unpublished notes are intentionally excluded.</x:v>
      </x:c>
      <x:c r="B2" s="3"/>
      <x:c r="C2" s="3"/>
      <x:c r="D2" s="3"/>
      <x:c r="E2" s="3"/>
      <x:c r="F2" s="3"/>
      <x:c r="G2" s="3"/>
    </x:row>
    <x:row r="4" ht="32" customHeight="1">
      <x:c r="A4" s="9" t="str">
        <x:v>Source</x:v>
      </x:c>
      <x:c r="B4" s="9" t="str">
        <x:v>Account or location</x:v>
      </x:c>
      <x:c r="C4" s="9" t="str">
        <x:v>Visibility</x:v>
      </x:c>
      <x:c r="D4" s="9" t="str">
        <x:v>Used for</x:v>
      </x:c>
      <x:c r="E4" s="9" t="str">
        <x:v>Included in public plan</x:v>
      </x:c>
      <x:c r="F4" s="9" t="str">
        <x:v>Reviewed</x:v>
      </x:c>
      <x:c r="G4" s="9" t="str">
        <x:v>Public URL</x:v>
      </x:c>
    </x:row>
    <x:row r="5" ht="44" customHeight="1">
      <x:c r="A5" s="41" t="str">
        <x:v>Current PN website repository</x:v>
      </x:c>
      <x:c r="B5" s="19" t="str">
        <x:v>OneDrive synced project</x:v>
      </x:c>
      <x:c r="C5" s="19" t="str">
        <x:v>Public code; private folders ignored</x:v>
      </x:c>
      <x:c r="D5" s="19" t="str">
        <x:v>Existing routes, design system, tests, roadmap</x:v>
      </x:c>
      <x:c r="E5" s="19" t="str">
        <x:v>Yes</x:v>
      </x:c>
      <x:c r="F5" s="16" t="n">
        <x:v>46278.666666666664</x:v>
      </x:c>
      <x:c r="G5" s="44" t="str">
        <x:v>https://piersonnorris.github.io/</x:v>
      </x:c>
    </x:row>
    <x:row r="6" ht="44" customHeight="1">
      <x:c r="A6" s="42" t="str">
        <x:v>Blueprint, content, and roadmap</x:v>
      </x:c>
      <x:c r="B6" s="20" t="str">
        <x:v>PN website project docs</x:v>
      </x:c>
      <x:c r="C6" s="20" t="str">
        <x:v>Public-safe repository docs</x:v>
      </x:c>
      <x:c r="D6" s="20" t="str">
        <x:v>Confirmed claims, architecture, open decisions</x:v>
      </x:c>
      <x:c r="E6" s="20" t="str">
        <x:v>Yes</x:v>
      </x:c>
      <x:c r="F6" s="43" t="n">
        <x:v>46278.666666666664</x:v>
      </x:c>
      <x:c r="G6" s="45" t="str">
        <x:v>https://piersonnorris.github.io/vault/</x:v>
      </x:c>
    </x:row>
    <x:row r="7" ht="44" customHeight="1">
      <x:c r="A7" s="42" t="str">
        <x:v>Asset Tracking build specification</x:v>
      </x:c>
      <x:c r="B7" s="20" t="str">
        <x:v>Personal Google Drive</x:v>
      </x:c>
      <x:c r="C7" s="20" t="str">
        <x:v>Private</x:v>
      </x:c>
      <x:c r="D7" s="20" t="str">
        <x:v>Portfolio schema, five platforms, privacy choices</x:v>
      </x:c>
      <x:c r="E7" s="20" t="str">
        <x:v>Structure only</x:v>
      </x:c>
      <x:c r="F7" s="43" t="n">
        <x:v>46278.666666666664</x:v>
      </x:c>
      <x:c r="G7" s="45" t="str"/>
    </x:row>
    <x:row r="8" ht="44" customHeight="1">
      <x:c r="A8" s="42" t="str">
        <x:v>Asset Tracking workbook</x:v>
      </x:c>
      <x:c r="B8" s="20" t="str">
        <x:v>School Google Drive connection</x:v>
      </x:c>
      <x:c r="C8" s="20" t="str">
        <x:v>Private financial data</x:v>
      </x:c>
      <x:c r="D8" s="20" t="str">
        <x:v>Tab names and parser compatibility</x:v>
      </x:c>
      <x:c r="E8" s="20" t="str">
        <x:v>Counts and structure only</x:v>
      </x:c>
      <x:c r="F8" s="43" t="n">
        <x:v>46278.666666666664</x:v>
      </x:c>
      <x:c r="G8" s="45" t="str"/>
    </x:row>
    <x:row r="9" ht="44" customHeight="1">
      <x:c r="A9" s="42" t="str">
        <x:v>Website Specifications</x:v>
      </x:c>
      <x:c r="B9" s="20" t="str">
        <x:v>School Google Drive connection</x:v>
      </x:c>
      <x:c r="C9" s="20" t="str">
        <x:v>Separate service-business context</x:v>
      </x:c>
      <x:c r="D9" s="20" t="str">
        <x:v>Separation check; not a PN personal-site source</x:v>
      </x:c>
      <x:c r="E9" s="20" t="str">
        <x:v>No</x:v>
      </x:c>
      <x:c r="F9" s="43" t="n">
        <x:v>46278.666666666664</x:v>
      </x:c>
      <x:c r="G9" s="45" t="str"/>
    </x:row>
    <x:row r="10" ht="44" customHeight="1">
      <x:c r="A10" s="42" t="str">
        <x:v>Legacy résumé</x:v>
      </x:c>
      <x:c r="B10" s="20" t="str">
        <x:v>Personal OneDrive Word file</x:v>
      </x:c>
      <x:c r="C10" s="20" t="str">
        <x:v>Private source</x:v>
      </x:c>
      <x:c r="D10" s="20" t="str">
        <x:v>Early work-history cross-check</x:v>
      </x:c>
      <x:c r="E10" s="20" t="str">
        <x:v>Confirmed facts only</x:v>
      </x:c>
      <x:c r="F10" s="43" t="n">
        <x:v>46278.666666666664</x:v>
      </x:c>
      <x:c r="G10" s="45" t="str"/>
    </x:row>
    <x:row r="11" ht="44" customHeight="1">
      <x:c r="A11" s="42" t="str">
        <x:v>Legacy service-site SEO draft</x:v>
      </x:c>
      <x:c r="B11" s="20" t="str">
        <x:v>Personal OneDrive Word file</x:v>
      </x:c>
      <x:c r="C11" s="20" t="str">
        <x:v>Private legacy draft</x:v>
      </x:c>
      <x:c r="D11" s="20" t="str">
        <x:v>Language-quality warning; excluded from PN copy</x:v>
      </x:c>
      <x:c r="E11" s="20" t="str">
        <x:v>No</x:v>
      </x:c>
      <x:c r="F11" s="43" t="n">
        <x:v>46278.666666666664</x:v>
      </x:c>
      <x:c r="G11" s="45" t="str"/>
    </x:row>
    <x:row r="12" ht="44" customHeight="1">
      <x:c r="A12" s="42" t="str">
        <x:v>School OneDrive browser session</x:v>
      </x:c>
      <x:c r="B12" s="20" t="str">
        <x:v>Elon Microsoft account</x:v>
      </x:c>
      <x:c r="C12" s="20" t="str">
        <x:v>Session unavailable</x:v>
      </x:c>
      <x:c r="D12" s="20" t="str">
        <x:v>No material used</x:v>
      </x:c>
      <x:c r="E12" s="20" t="str">
        <x:v>No</x:v>
      </x:c>
      <x:c r="F12" s="43" t="n">
        <x:v>46278.666666666664</x:v>
      </x:c>
      <x:c r="G12" s="45" t="str"/>
    </x:row>
  </x:sheetData>
  <x:pageMargins left="0.7" right="0.7" top="0.75" bottom="0.75" header="0.3" footer="0.3"/>
</x:worksheet>
</file>